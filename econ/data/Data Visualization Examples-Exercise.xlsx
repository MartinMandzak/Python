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hidePivotFieldList="1"/>
  <mc:AlternateContent xmlns:mc="http://schemas.openxmlformats.org/markup-compatibility/2006">
    <mc:Choice Requires="x15">
      <x15ac:absPath xmlns:x15ac="http://schemas.microsoft.com/office/spreadsheetml/2010/11/ac" url="C:\myMUNI-Data\MSCAfellow7_MUNI\Teaching MUNI\Data Visualization\"/>
    </mc:Choice>
  </mc:AlternateContent>
  <xr:revisionPtr revIDLastSave="0" documentId="13_ncr:1_{7692FF07-A7D1-4AEA-93E7-21DA42322682}" xr6:coauthVersionLast="47" xr6:coauthVersionMax="47" xr10:uidLastSave="{00000000-0000-0000-0000-000000000000}"/>
  <bookViews>
    <workbookView xWindow="-120" yWindow="-120" windowWidth="29040" windowHeight="15720" firstSheet="7" activeTab="7" xr2:uid="{FFCBB889-7F5F-418F-9050-0475F24987B6}"/>
  </bookViews>
  <sheets>
    <sheet name="Pivot Table" sheetId="2" r:id="rId1"/>
    <sheet name="Polyline" sheetId="3" r:id="rId2"/>
    <sheet name="Area Chart" sheetId="4" r:id="rId3"/>
    <sheet name="Multi_layer_pie_data" sheetId="5" r:id="rId4"/>
    <sheet name="Waterfall" sheetId="1" r:id="rId5"/>
    <sheet name="Waffle" sheetId="13" r:id="rId6"/>
    <sheet name="Radar" sheetId="7" r:id="rId7"/>
    <sheet name="Funnel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3" l="1"/>
  <c r="K13" i="13"/>
  <c r="J13" i="13"/>
  <c r="I13" i="13"/>
  <c r="H13" i="13"/>
  <c r="G13" i="13"/>
  <c r="F13" i="13"/>
  <c r="E13" i="13"/>
  <c r="D13" i="13"/>
  <c r="C13" i="13"/>
  <c r="L12" i="13"/>
  <c r="K12" i="13"/>
  <c r="J12" i="13"/>
  <c r="I12" i="13"/>
  <c r="H12" i="13"/>
  <c r="G12" i="13"/>
  <c r="F12" i="13"/>
  <c r="E12" i="13"/>
  <c r="D12" i="13"/>
  <c r="C12" i="13"/>
  <c r="L11" i="13"/>
  <c r="K11" i="13"/>
  <c r="J11" i="13"/>
  <c r="I11" i="13"/>
  <c r="H11" i="13"/>
  <c r="G11" i="13"/>
  <c r="F11" i="13"/>
  <c r="E11" i="13"/>
  <c r="D11" i="13"/>
  <c r="C11" i="13"/>
  <c r="L10" i="13"/>
  <c r="K10" i="13"/>
  <c r="J10" i="13"/>
  <c r="I10" i="13"/>
  <c r="H10" i="13"/>
  <c r="G10" i="13"/>
  <c r="F10" i="13"/>
  <c r="E10" i="13"/>
  <c r="D10" i="13"/>
  <c r="C10" i="13"/>
  <c r="L9" i="13"/>
  <c r="K9" i="13"/>
  <c r="J9" i="13"/>
  <c r="I9" i="13"/>
  <c r="H9" i="13"/>
  <c r="G9" i="13"/>
  <c r="F9" i="13"/>
  <c r="E9" i="13"/>
  <c r="D9" i="13"/>
  <c r="C9" i="13"/>
  <c r="L8" i="13"/>
  <c r="K8" i="13"/>
  <c r="J8" i="13"/>
  <c r="I8" i="13"/>
  <c r="H8" i="13"/>
  <c r="G8" i="13"/>
  <c r="F8" i="13"/>
  <c r="E8" i="13"/>
  <c r="D8" i="13"/>
  <c r="C8" i="13"/>
  <c r="L7" i="13"/>
  <c r="K7" i="13"/>
  <c r="J7" i="13"/>
  <c r="I7" i="13"/>
  <c r="H7" i="13"/>
  <c r="G7" i="13"/>
  <c r="F7" i="13"/>
  <c r="E7" i="13"/>
  <c r="D7" i="13"/>
  <c r="C7" i="13"/>
  <c r="L6" i="13"/>
  <c r="K6" i="13"/>
  <c r="J6" i="13"/>
  <c r="I6" i="13"/>
  <c r="H6" i="13"/>
  <c r="G6" i="13"/>
  <c r="F6" i="13"/>
  <c r="E6" i="13"/>
  <c r="D6" i="13"/>
  <c r="C6" i="13"/>
  <c r="L5" i="13"/>
  <c r="K5" i="13"/>
  <c r="J5" i="13"/>
  <c r="I5" i="13"/>
  <c r="H5" i="13"/>
  <c r="G5" i="13"/>
  <c r="F5" i="13"/>
  <c r="E5" i="13"/>
  <c r="D5" i="13"/>
  <c r="C5" i="13"/>
  <c r="L4" i="13"/>
  <c r="K4" i="13"/>
  <c r="J4" i="13"/>
  <c r="I4" i="13"/>
  <c r="H4" i="13"/>
  <c r="G4" i="13"/>
  <c r="F4" i="13"/>
  <c r="E4" i="13"/>
  <c r="D4" i="13"/>
  <c r="C4" i="13"/>
</calcChain>
</file>

<file path=xl/sharedStrings.xml><?xml version="1.0" encoding="utf-8"?>
<sst xmlns="http://schemas.openxmlformats.org/spreadsheetml/2006/main" count="130" uniqueCount="77">
  <si>
    <t>OrderID</t>
  </si>
  <si>
    <t>Region</t>
  </si>
  <si>
    <t>Salesperson</t>
  </si>
  <si>
    <t>Product</t>
  </si>
  <si>
    <t>Category</t>
  </si>
  <si>
    <t>Units</t>
  </si>
  <si>
    <t>Unit Price</t>
  </si>
  <si>
    <t>Revenue</t>
  </si>
  <si>
    <t>Date</t>
  </si>
  <si>
    <t>North</t>
  </si>
  <si>
    <t>Alice</t>
  </si>
  <si>
    <t>Laptop</t>
  </si>
  <si>
    <t>Electronics</t>
  </si>
  <si>
    <t>East</t>
  </si>
  <si>
    <t>Bob</t>
  </si>
  <si>
    <t>Smartphone</t>
  </si>
  <si>
    <t>West</t>
  </si>
  <si>
    <t>Charlie</t>
  </si>
  <si>
    <t>Printer</t>
  </si>
  <si>
    <t>Office</t>
  </si>
  <si>
    <t>South</t>
  </si>
  <si>
    <t>Desk Chair</t>
  </si>
  <si>
    <t>Furniture</t>
  </si>
  <si>
    <t>Diana</t>
  </si>
  <si>
    <t>Desk</t>
  </si>
  <si>
    <t>Notebook</t>
  </si>
  <si>
    <t>Tablet</t>
  </si>
  <si>
    <t>Bookshelf</t>
  </si>
  <si>
    <t>Month</t>
  </si>
  <si>
    <t>Series A</t>
  </si>
  <si>
    <t>Series B</t>
  </si>
  <si>
    <t>Series 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</si>
  <si>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</si>
  <si>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</si>
  <si>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</si>
  <si>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</si>
  <si>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</si>
  <si>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</si>
  <si>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</si>
  <si>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</si>
  <si>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</si>
  <si>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</si>
  <si>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</si>
  <si>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</si>
  <si>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 A</t>
  </si>
  <si>
    <t>Category B</t>
  </si>
  <si>
    <t>Category C</t>
  </si>
  <si>
    <t>North America</t>
  </si>
  <si>
    <t>Clothing</t>
  </si>
  <si>
    <t>Food</t>
  </si>
  <si>
    <t>Europe</t>
  </si>
  <si>
    <t>Asia</t>
  </si>
  <si>
    <t>Initial Revenue</t>
  </si>
  <si>
    <t>Raw Materials Cost</t>
  </si>
  <si>
    <t>Transportation Cost</t>
  </si>
  <si>
    <t>Salaries &amp; Wages</t>
  </si>
  <si>
    <t>Marketing Expenses</t>
  </si>
  <si>
    <t>Additional
 Service Income</t>
  </si>
  <si>
    <t>Taxes</t>
  </si>
  <si>
    <t>Net Profit</t>
  </si>
  <si>
    <t>KPI Value</t>
  </si>
  <si>
    <t>Criteria</t>
  </si>
  <si>
    <t>Manager A</t>
  </si>
  <si>
    <t>Manager B</t>
  </si>
  <si>
    <t>Manager C</t>
  </si>
  <si>
    <t>Leadership</t>
  </si>
  <si>
    <t>Communication</t>
  </si>
  <si>
    <t>Decision Making</t>
  </si>
  <si>
    <t>Innovation</t>
  </si>
  <si>
    <t>Teamwork</t>
  </si>
  <si>
    <t>Time Management</t>
  </si>
  <si>
    <t>Stage</t>
  </si>
  <si>
    <t>Visitors</t>
  </si>
  <si>
    <t>Sign-ups</t>
  </si>
  <si>
    <t>Trials</t>
  </si>
  <si>
    <t>Paid Users</t>
  </si>
  <si>
    <t>Renewals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</si>
</sst>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1"/>
      <color theme="1"/>
      <name val="Calibri"/>
      <family val="2"/>
    </font>
    <font>
      <sz val="4"/>
      <color theme="9" tint="0.7999816888943144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 wrapText="1" indent="1" readingOrder="2"/>
    </xf>
    <xf numFmtId="3" fontId="3" fillId="0" borderId="0" xfId="0" applyNumberFormat="1" applyFont="1" applyAlignment="1">
      <alignment horizontal="left" vertical="center" wrapText="1" indent="1" readingOrder="2"/>
    </xf>
    <xf numFmtId="0" fontId="4" fillId="0" borderId="0" xfId="0" applyFont="1"/>
    <xf numFmtId="0" fontId="3" fillId="0" borderId="0" xfId="0" applyFont="1" applyAlignment="1">
      <alignment horizontal="left" vertical="center" wrapText="1" indent="1" readingOrder="2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9" fontId="0" fillId="0" borderId="1" xfId="0" applyNumberFormat="1" applyBorder="1"/>
    <xf numFmtId="9" fontId="5" fillId="2" borderId="10" xfId="0" applyNumberFormat="1" applyFont="1" applyFill="1" applyBorder="1"/>
    <xf numFmtId="9" fontId="5" fillId="2" borderId="11" xfId="0" applyNumberFormat="1" applyFont="1" applyFill="1" applyBorder="1"/>
    <xf numFmtId="9" fontId="5" fillId="2" borderId="12" xfId="0" applyNumberFormat="1" applyFont="1" applyFill="1" applyBorder="1"/>
    <xf numFmtId="9" fontId="5" fillId="2" borderId="13" xfId="0" applyNumberFormat="1" applyFont="1" applyFill="1" applyBorder="1"/>
    <xf numFmtId="9" fontId="5" fillId="2" borderId="14" xfId="0" applyNumberFormat="1" applyFont="1" applyFill="1" applyBorder="1"/>
    <xf numFmtId="9" fontId="5" fillId="2" borderId="15" xfId="0" applyNumberFormat="1" applyFont="1" applyFill="1" applyBorder="1"/>
    <xf numFmtId="9" fontId="5" fillId="2" borderId="16" xfId="0" applyNumberFormat="1" applyFont="1" applyFill="1" applyBorder="1"/>
    <xf numFmtId="9" fontId="5" fillId="2" borderId="17" xfId="0" applyNumberFormat="1" applyFont="1" applyFill="1" applyBorder="1"/>
    <xf numFmtId="9" fontId="5" fillId="2" borderId="18" xfId="0" applyNumberFormat="1" applyFont="1" applyFill="1" applyBorder="1"/>
  </cellXfs>
  <cellStyles count="1">
    <cellStyle name="Normal" xfId="0" builtinId="0"/>
  </cellStyles>
  <dxfs count="1">
    <dxf>
      <font>
        <color theme="9" tint="0.39994506668294322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11</xdr:row>
      <xdr:rowOff>190499</xdr:rowOff>
    </xdr:from>
    <xdr:to>
      <xdr:col>10</xdr:col>
      <xdr:colOff>161925</xdr:colOff>
      <xdr:row>35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4B4F8D-D8FA-AC56-DAFC-B69BCFEE161A}"/>
            </a:ext>
          </a:extLst>
        </xdr:cNvPr>
        <xdr:cNvSpPr/>
      </xdr:nvSpPr>
      <xdr:spPr>
        <a:xfrm>
          <a:off x="66675" y="2295524"/>
          <a:ext cx="6286500" cy="43815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/>
            <a:t>How to Use This Data for Pivot Table Training</a:t>
          </a:r>
        </a:p>
        <a:p>
          <a:r>
            <a:rPr lang="en-US" sz="1200" b="1"/>
            <a:t>Basic Aggregation</a:t>
          </a:r>
          <a:endParaRPr lang="en-US" sz="1200"/>
        </a:p>
        <a:p>
          <a:pPr lvl="1"/>
          <a:r>
            <a:rPr lang="en-US" sz="1200"/>
            <a:t>Create a Pivot Table with </a:t>
          </a:r>
          <a:r>
            <a:rPr lang="en-US" sz="1200" b="1"/>
            <a:t>Region</a:t>
          </a:r>
          <a:r>
            <a:rPr lang="en-US" sz="1200"/>
            <a:t> as Rows and </a:t>
          </a:r>
          <a:r>
            <a:rPr lang="en-US" sz="1200" b="1"/>
            <a:t>Revenue</a:t>
          </a:r>
          <a:r>
            <a:rPr lang="en-US" sz="1200"/>
            <a:t> as Values.</a:t>
          </a:r>
        </a:p>
        <a:p>
          <a:pPr lvl="1"/>
          <a:r>
            <a:rPr lang="en-US" sz="1200"/>
            <a:t>Shows </a:t>
          </a:r>
          <a:r>
            <a:rPr lang="en-US" sz="1200" b="1"/>
            <a:t>total revenue per region</a:t>
          </a:r>
          <a:r>
            <a:rPr lang="en-US" sz="1200"/>
            <a:t>.</a:t>
          </a:r>
        </a:p>
        <a:p>
          <a:r>
            <a:rPr lang="en-US" sz="1200" b="1"/>
            <a:t>Sales by Category</a:t>
          </a:r>
          <a:endParaRPr lang="en-US" sz="1200"/>
        </a:p>
        <a:p>
          <a:pPr lvl="1"/>
          <a:r>
            <a:rPr lang="en-US" sz="1200"/>
            <a:t>Rows: </a:t>
          </a:r>
          <a:r>
            <a:rPr lang="en-US" sz="1200" b="1"/>
            <a:t>Category</a:t>
          </a:r>
          <a:endParaRPr lang="en-US" sz="1200"/>
        </a:p>
        <a:p>
          <a:pPr lvl="1"/>
          <a:r>
            <a:rPr lang="en-US" sz="1200"/>
            <a:t>Columns: </a:t>
          </a:r>
          <a:r>
            <a:rPr lang="en-US" sz="1200" b="1"/>
            <a:t>Region</a:t>
          </a:r>
          <a:endParaRPr lang="en-US" sz="1200"/>
        </a:p>
        <a:p>
          <a:pPr lvl="1"/>
          <a:r>
            <a:rPr lang="en-US" sz="1200"/>
            <a:t>Values: </a:t>
          </a:r>
          <a:r>
            <a:rPr lang="en-US" sz="1200" b="1"/>
            <a:t>Units Sold</a:t>
          </a:r>
          <a:endParaRPr lang="en-US" sz="1200"/>
        </a:p>
        <a:p>
          <a:pPr lvl="1"/>
          <a:r>
            <a:rPr lang="en-US" sz="1200"/>
            <a:t>Shows which product category sells most in each region.</a:t>
          </a:r>
        </a:p>
        <a:p>
          <a:r>
            <a:rPr lang="en-US" sz="1200" b="1"/>
            <a:t>Top Salesperson Analysis</a:t>
          </a:r>
          <a:endParaRPr lang="en-US" sz="1200"/>
        </a:p>
        <a:p>
          <a:pPr lvl="1"/>
          <a:r>
            <a:rPr lang="en-US" sz="1200"/>
            <a:t>Rows: </a:t>
          </a:r>
          <a:r>
            <a:rPr lang="en-US" sz="1200" b="1"/>
            <a:t>Salesperson</a:t>
          </a:r>
          <a:endParaRPr lang="en-US" sz="1200"/>
        </a:p>
        <a:p>
          <a:pPr lvl="1"/>
          <a:r>
            <a:rPr lang="en-US" sz="1200"/>
            <a:t>Values: </a:t>
          </a:r>
          <a:r>
            <a:rPr lang="en-US" sz="1200" b="1"/>
            <a:t>Revenue (sum)</a:t>
          </a:r>
          <a:endParaRPr lang="en-US" sz="1200"/>
        </a:p>
        <a:p>
          <a:pPr lvl="1"/>
          <a:r>
            <a:rPr lang="en-US" sz="1200"/>
            <a:t>Sort descending → identify best performer.</a:t>
          </a:r>
        </a:p>
        <a:p>
          <a:r>
            <a:rPr lang="en-US" sz="1200" b="1"/>
            <a:t>Time-based Analysis</a:t>
          </a:r>
          <a:endParaRPr lang="en-US" sz="1200"/>
        </a:p>
        <a:p>
          <a:pPr lvl="1"/>
          <a:r>
            <a:rPr lang="en-US" sz="1200"/>
            <a:t>Group </a:t>
          </a:r>
          <a:r>
            <a:rPr lang="en-US" sz="1200" b="1"/>
            <a:t>Date</a:t>
          </a:r>
          <a:r>
            <a:rPr lang="en-US" sz="1200"/>
            <a:t> by Month.</a:t>
          </a:r>
        </a:p>
        <a:p>
          <a:pPr lvl="1"/>
          <a:r>
            <a:rPr lang="en-US" sz="1200"/>
            <a:t>Rows: </a:t>
          </a:r>
          <a:r>
            <a:rPr lang="en-US" sz="1200" b="1"/>
            <a:t>Month</a:t>
          </a:r>
          <a:endParaRPr lang="en-US" sz="1200"/>
        </a:p>
        <a:p>
          <a:pPr lvl="1"/>
          <a:r>
            <a:rPr lang="en-US" sz="1200"/>
            <a:t>Values: </a:t>
          </a:r>
          <a:r>
            <a:rPr lang="en-US" sz="1200" b="1"/>
            <a:t>Revenue</a:t>
          </a:r>
          <a:endParaRPr lang="en-US" sz="1200"/>
        </a:p>
        <a:p>
          <a:pPr lvl="1"/>
          <a:r>
            <a:rPr lang="en-US" sz="1200"/>
            <a:t>Chart: Line Chart → Sales trend over time.</a:t>
          </a:r>
        </a:p>
        <a:p>
          <a:r>
            <a:rPr lang="en-US" sz="1200" b="1"/>
            <a:t>Pivot Chart Examples</a:t>
          </a:r>
          <a:endParaRPr lang="en-US" sz="1200"/>
        </a:p>
        <a:p>
          <a:pPr lvl="1"/>
          <a:r>
            <a:rPr lang="en-US" sz="1200"/>
            <a:t>Pie Chart: % Revenue by Category.</a:t>
          </a:r>
        </a:p>
        <a:p>
          <a:pPr lvl="1"/>
          <a:r>
            <a:rPr lang="en-US" sz="1200"/>
            <a:t>Column Chart: Revenue by Region.</a:t>
          </a:r>
        </a:p>
        <a:p>
          <a:pPr lvl="1"/>
          <a:r>
            <a:rPr lang="en-US" sz="1200"/>
            <a:t>Stacked Bar: Units sold per Category by Region.</a:t>
          </a:r>
        </a:p>
        <a:p>
          <a:pPr algn="l"/>
          <a:endParaRPr lang="en-US" sz="1200"/>
        </a:p>
      </xdr:txBody>
    </xdr:sp>
    <xdr:clientData/>
  </xdr:twoCellAnchor>
  <xdr:twoCellAnchor>
    <xdr:from>
      <xdr:col>0</xdr:col>
      <xdr:colOff>57150</xdr:colOff>
      <xdr:row>35</xdr:row>
      <xdr:rowOff>95249</xdr:rowOff>
    </xdr:from>
    <xdr:to>
      <xdr:col>10</xdr:col>
      <xdr:colOff>152400</xdr:colOff>
      <xdr:row>56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4BE42C4-4D20-6662-5034-60845D1A45D0}"/>
            </a:ext>
          </a:extLst>
        </xdr:cNvPr>
        <xdr:cNvSpPr/>
      </xdr:nvSpPr>
      <xdr:spPr>
        <a:xfrm>
          <a:off x="57150" y="6772274"/>
          <a:ext cx="6286500" cy="40386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/>
            <a:t>🔹 Step 1: Insert Pivot Table</a:t>
          </a:r>
        </a:p>
        <a:p>
          <a:r>
            <a:rPr lang="en-US" sz="1200"/>
            <a:t>Select your dataset (the sales table).</a:t>
          </a:r>
        </a:p>
        <a:p>
          <a:r>
            <a:rPr lang="en-US" sz="1200"/>
            <a:t>Go to </a:t>
          </a:r>
          <a:r>
            <a:rPr lang="en-US" sz="1200" b="1"/>
            <a:t>Insert → PivotTable</a:t>
          </a:r>
          <a:r>
            <a:rPr lang="en-US" sz="1200"/>
            <a:t>.</a:t>
          </a:r>
        </a:p>
        <a:p>
          <a:r>
            <a:rPr lang="en-US" sz="1200"/>
            <a:t>Choose where you want the PivotTable (new sheet is better).</a:t>
          </a:r>
        </a:p>
        <a:p>
          <a:r>
            <a:rPr lang="en-US" sz="1200" b="1"/>
            <a:t>🔹 Step 2: Group Date by Month</a:t>
          </a:r>
        </a:p>
        <a:p>
          <a:r>
            <a:rPr lang="en-US" sz="1200"/>
            <a:t>Drag </a:t>
          </a:r>
          <a:r>
            <a:rPr lang="en-US" sz="1200" b="1"/>
            <a:t>Date</a:t>
          </a:r>
          <a:r>
            <a:rPr lang="en-US" sz="1200"/>
            <a:t> field into </a:t>
          </a:r>
          <a:r>
            <a:rPr lang="en-US" sz="1200" b="1"/>
            <a:t>Rows</a:t>
          </a:r>
          <a:r>
            <a:rPr lang="en-US" sz="1200"/>
            <a:t>.</a:t>
          </a:r>
        </a:p>
        <a:p>
          <a:r>
            <a:rPr lang="en-US" sz="1200"/>
            <a:t>Right-click on any date → </a:t>
          </a:r>
          <a:r>
            <a:rPr lang="en-US" sz="1200" b="1"/>
            <a:t>Group</a:t>
          </a:r>
          <a:r>
            <a:rPr lang="en-US" sz="1200"/>
            <a:t>.</a:t>
          </a:r>
        </a:p>
        <a:p>
          <a:r>
            <a:rPr lang="en-US" sz="1200"/>
            <a:t>In the Grouping window, select </a:t>
          </a:r>
          <a:r>
            <a:rPr lang="en-US" sz="1200" b="1"/>
            <a:t>Months</a:t>
          </a:r>
          <a:r>
            <a:rPr lang="en-US" sz="1200"/>
            <a:t> (you can also include Years if your dataset has multiple years).</a:t>
          </a:r>
        </a:p>
        <a:p>
          <a:r>
            <a:rPr lang="en-US" sz="1200"/>
            <a:t>Now your rows are grouped by </a:t>
          </a:r>
          <a:r>
            <a:rPr lang="en-US" sz="1200" b="1"/>
            <a:t>Month</a:t>
          </a:r>
          <a:r>
            <a:rPr lang="en-US" sz="1200"/>
            <a:t> instead of individual dates.</a:t>
          </a:r>
        </a:p>
        <a:p>
          <a:r>
            <a:rPr lang="en-US" sz="1200" b="1"/>
            <a:t>🔹 Step 3: Add Values</a:t>
          </a:r>
        </a:p>
        <a:p>
          <a:r>
            <a:rPr lang="en-US" sz="1200"/>
            <a:t>Drag </a:t>
          </a:r>
          <a:r>
            <a:rPr lang="en-US" sz="1200" b="1"/>
            <a:t>Revenue</a:t>
          </a:r>
          <a:r>
            <a:rPr lang="en-US" sz="1200"/>
            <a:t> field into </a:t>
          </a:r>
          <a:r>
            <a:rPr lang="en-US" sz="1200" b="1"/>
            <a:t>Values</a:t>
          </a:r>
          <a:r>
            <a:rPr lang="en-US" sz="1200"/>
            <a:t>.</a:t>
          </a:r>
        </a:p>
        <a:p>
          <a:r>
            <a:rPr lang="en-US" sz="1200"/>
            <a:t>It should automatically show </a:t>
          </a:r>
          <a:r>
            <a:rPr lang="en-US" sz="1200" b="1"/>
            <a:t>Sum of Revenue</a:t>
          </a:r>
          <a:r>
            <a:rPr lang="en-US" sz="1200"/>
            <a:t> (if not, click the dropdown → Value Field Settings → Sum).</a:t>
          </a:r>
        </a:p>
        <a:p>
          <a:r>
            <a:rPr lang="en-US" sz="1200"/>
            <a:t>Now the Pivot Table shows </a:t>
          </a:r>
          <a:r>
            <a:rPr lang="en-US" sz="1200" b="1"/>
            <a:t>Monthly Sales Revenue</a:t>
          </a:r>
          <a:r>
            <a:rPr lang="en-US" sz="1200"/>
            <a:t>.</a:t>
          </a:r>
        </a:p>
        <a:p>
          <a:r>
            <a:rPr lang="en-US" sz="1200" b="1"/>
            <a:t>🔹 Step 4: Insert Pivot Chart</a:t>
          </a:r>
        </a:p>
        <a:p>
          <a:r>
            <a:rPr lang="en-US" sz="1200"/>
            <a:t>Click anywhere inside the Pivot Table.</a:t>
          </a:r>
        </a:p>
        <a:p>
          <a:r>
            <a:rPr lang="en-US" sz="1200"/>
            <a:t>Go to </a:t>
          </a:r>
          <a:r>
            <a:rPr lang="en-US" sz="1200" b="1"/>
            <a:t>Insert → Line Chart</a:t>
          </a:r>
          <a:r>
            <a:rPr lang="en-US" sz="1200"/>
            <a:t>.</a:t>
          </a:r>
        </a:p>
        <a:p>
          <a:r>
            <a:rPr lang="en-US" sz="1200"/>
            <a:t>Choose a </a:t>
          </a:r>
          <a:r>
            <a:rPr lang="en-US" sz="1200" b="1"/>
            <a:t>Line Chart</a:t>
          </a:r>
          <a:r>
            <a:rPr lang="en-US" sz="1200"/>
            <a:t> (simple line is best for trend).</a:t>
          </a:r>
        </a:p>
        <a:p>
          <a:r>
            <a:rPr lang="en-US" sz="1200"/>
            <a:t>This will create a chart showing </a:t>
          </a:r>
          <a:r>
            <a:rPr lang="en-US" sz="1200" b="1"/>
            <a:t>Sales Trend Over Time (Month by Month)</a:t>
          </a:r>
          <a:r>
            <a:rPr lang="en-US" sz="1200"/>
            <a:t>.</a:t>
          </a:r>
        </a:p>
        <a:p>
          <a:pPr algn="l"/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171450</xdr:rowOff>
    </xdr:from>
    <xdr:to>
      <xdr:col>5</xdr:col>
      <xdr:colOff>361950</xdr:colOff>
      <xdr:row>25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CBEA1F-7760-08EC-4856-0D1E09943447}"/>
            </a:ext>
          </a:extLst>
        </xdr:cNvPr>
        <xdr:cNvSpPr/>
      </xdr:nvSpPr>
      <xdr:spPr>
        <a:xfrm>
          <a:off x="95250" y="1885950"/>
          <a:ext cx="5676900" cy="3219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Example: Managerial Case for a Multi-axis Radar Chart</a:t>
          </a:r>
        </a:p>
        <a:p>
          <a:r>
            <a:rPr lang="en-US"/>
            <a:t>Let’s assume we want to evaluate the performance of three managers in an organization across </a:t>
          </a:r>
          <a:r>
            <a:rPr lang="en-US" b="1"/>
            <a:t>six key criteria</a:t>
          </a:r>
          <a:r>
            <a:rPr lang="en-US"/>
            <a:t>:</a:t>
          </a:r>
        </a:p>
        <a:p>
          <a:r>
            <a:rPr lang="en-US" b="1"/>
            <a:t>Leadership</a:t>
          </a:r>
          <a:endParaRPr lang="en-US"/>
        </a:p>
        <a:p>
          <a:r>
            <a:rPr lang="en-US" b="1"/>
            <a:t>Communication</a:t>
          </a:r>
          <a:endParaRPr lang="en-US"/>
        </a:p>
        <a:p>
          <a:r>
            <a:rPr lang="en-US" b="1"/>
            <a:t>Decision Making</a:t>
          </a:r>
          <a:endParaRPr lang="en-US"/>
        </a:p>
        <a:p>
          <a:r>
            <a:rPr lang="en-US" b="1"/>
            <a:t>Innovation</a:t>
          </a:r>
          <a:endParaRPr lang="en-US"/>
        </a:p>
        <a:p>
          <a:r>
            <a:rPr lang="en-US" b="1"/>
            <a:t>Teamwork</a:t>
          </a:r>
          <a:endParaRPr lang="en-US"/>
        </a:p>
        <a:p>
          <a:r>
            <a:rPr lang="en-US" b="1"/>
            <a:t>Time Management</a:t>
          </a:r>
          <a:endParaRPr lang="en-US"/>
        </a:p>
        <a:p>
          <a:r>
            <a:rPr lang="en-US"/>
            <a:t>Each criterion is rated on a scale from </a:t>
          </a:r>
          <a:r>
            <a:rPr lang="en-US" b="1"/>
            <a:t>1 to 10</a:t>
          </a:r>
          <a:r>
            <a:rPr lang="en-US"/>
            <a:t>.</a:t>
          </a:r>
        </a:p>
        <a:p>
          <a:endParaRPr lang="en-US"/>
        </a:p>
        <a:p>
          <a:r>
            <a:rPr lang="en-US" b="1"/>
            <a:t>🔹 Interpretation</a:t>
          </a:r>
        </a:p>
        <a:p>
          <a:r>
            <a:rPr lang="en-US"/>
            <a:t>Each axis in the </a:t>
          </a:r>
          <a:r>
            <a:rPr lang="en-US" b="1"/>
            <a:t>Radar Chart</a:t>
          </a:r>
          <a:r>
            <a:rPr lang="en-US"/>
            <a:t> represents one managerial criterion.</a:t>
          </a:r>
        </a:p>
        <a:p>
          <a:r>
            <a:rPr lang="en-US"/>
            <a:t>The polygon for each manager shows their strengths and weaknesses.</a:t>
          </a:r>
        </a:p>
        <a:p>
          <a:r>
            <a:rPr lang="en-US"/>
            <a:t>Example:</a:t>
          </a:r>
        </a:p>
        <a:p>
          <a:pPr lvl="1"/>
          <a:r>
            <a:rPr lang="en-US" b="1"/>
            <a:t>Manager A</a:t>
          </a:r>
          <a:r>
            <a:rPr lang="en-US"/>
            <a:t> is strongest in </a:t>
          </a:r>
          <a:r>
            <a:rPr lang="en-US" b="1"/>
            <a:t>Decision Making</a:t>
          </a:r>
          <a:r>
            <a:rPr lang="en-US"/>
            <a:t>.</a:t>
          </a:r>
        </a:p>
        <a:p>
          <a:pPr lvl="1"/>
          <a:r>
            <a:rPr lang="en-US" b="1"/>
            <a:t>Manager B</a:t>
          </a:r>
          <a:r>
            <a:rPr lang="en-US"/>
            <a:t> excels in </a:t>
          </a:r>
          <a:r>
            <a:rPr lang="en-US" b="1"/>
            <a:t>Communication</a:t>
          </a:r>
          <a:r>
            <a:rPr lang="en-US"/>
            <a:t>.</a:t>
          </a:r>
        </a:p>
        <a:p>
          <a:pPr lvl="1"/>
          <a:r>
            <a:rPr lang="en-US" b="1"/>
            <a:t>Manager C</a:t>
          </a:r>
          <a:r>
            <a:rPr lang="en-US"/>
            <a:t> is best at </a:t>
          </a:r>
          <a:r>
            <a:rPr lang="en-US" b="1"/>
            <a:t>Teamwork</a:t>
          </a:r>
          <a:r>
            <a:rPr lang="en-US"/>
            <a:t>.</a:t>
          </a:r>
        </a:p>
        <a:p>
          <a:endParaRPr lang="en-US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F7FA-282D-44EF-AD74-3CF05C819EAA}">
  <dimension ref="A1:I11"/>
  <sheetViews>
    <sheetView topLeftCell="F18" workbookViewId="0">
      <selection activeCell="L1" sqref="L1:AA56"/>
    </sheetView>
  </sheetViews>
  <sheetFormatPr defaultRowHeight="15"/>
  <cols>
    <col min="1" max="1" width="8.140625" bestFit="1" customWidth="1"/>
    <col min="2" max="2" width="7.28515625" bestFit="1" customWidth="1"/>
    <col min="3" max="3" width="12.140625" bestFit="1" customWidth="1"/>
    <col min="4" max="4" width="11.7109375" bestFit="1" customWidth="1"/>
    <col min="5" max="5" width="10.7109375" bestFit="1" customWidth="1"/>
    <col min="6" max="6" width="5.7109375" bestFit="1" customWidth="1"/>
    <col min="7" max="7" width="9.7109375" bestFit="1" customWidth="1"/>
    <col min="14" max="14" width="13.42578125" bestFit="1" customWidth="1"/>
    <col min="15" max="15" width="15.85546875" bestFit="1" customWidth="1"/>
    <col min="16" max="16" width="16.5703125" bestFit="1" customWidth="1"/>
    <col min="17" max="17" width="12.42578125" bestFit="1" customWidth="1"/>
    <col min="18" max="18" width="5.7109375" bestFit="1" customWidth="1"/>
    <col min="19" max="19" width="11.28515625" bestFit="1" customWidth="1"/>
    <col min="21" max="21" width="13.42578125" bestFit="1" customWidth="1"/>
    <col min="22" max="22" width="15.85546875" bestFit="1" customWidth="1"/>
    <col min="23" max="23" width="6.140625" bestFit="1" customWidth="1"/>
    <col min="24" max="24" width="6.28515625" bestFit="1" customWidth="1"/>
    <col min="25" max="25" width="5.7109375" bestFit="1" customWidth="1"/>
    <col min="26" max="26" width="11.28515625" bestFit="1" customWidth="1"/>
  </cols>
  <sheetData>
    <row r="1" spans="1: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9">
        <v>1001</v>
      </c>
      <c r="B2" s="5" t="s">
        <v>9</v>
      </c>
      <c r="C2" s="5" t="s">
        <v>10</v>
      </c>
      <c r="D2" s="5" t="s">
        <v>11</v>
      </c>
      <c r="E2" s="5" t="s">
        <v>12</v>
      </c>
      <c r="F2" s="5">
        <v>5</v>
      </c>
      <c r="G2" s="5">
        <v>800</v>
      </c>
      <c r="H2" s="5">
        <v>4000</v>
      </c>
      <c r="I2" s="10">
        <v>44941</v>
      </c>
    </row>
    <row r="3" spans="1:9">
      <c r="A3" s="9">
        <v>1002</v>
      </c>
      <c r="B3" s="5" t="s">
        <v>13</v>
      </c>
      <c r="C3" s="5" t="s">
        <v>14</v>
      </c>
      <c r="D3" s="5" t="s">
        <v>15</v>
      </c>
      <c r="E3" s="5" t="s">
        <v>12</v>
      </c>
      <c r="F3" s="5">
        <v>10</v>
      </c>
      <c r="G3" s="5">
        <v>600</v>
      </c>
      <c r="H3" s="5">
        <v>6000</v>
      </c>
      <c r="I3" s="10">
        <v>44946</v>
      </c>
    </row>
    <row r="4" spans="1:9">
      <c r="A4" s="9">
        <v>1003</v>
      </c>
      <c r="B4" s="5" t="s">
        <v>16</v>
      </c>
      <c r="C4" s="5" t="s">
        <v>17</v>
      </c>
      <c r="D4" s="5" t="s">
        <v>18</v>
      </c>
      <c r="E4" s="5" t="s">
        <v>19</v>
      </c>
      <c r="F4" s="5">
        <v>3</v>
      </c>
      <c r="G4" s="5">
        <v>200</v>
      </c>
      <c r="H4" s="5">
        <v>600</v>
      </c>
      <c r="I4" s="10">
        <v>44962</v>
      </c>
    </row>
    <row r="5" spans="1:9">
      <c r="A5" s="9">
        <v>1004</v>
      </c>
      <c r="B5" s="5" t="s">
        <v>20</v>
      </c>
      <c r="C5" s="5" t="s">
        <v>10</v>
      </c>
      <c r="D5" s="5" t="s">
        <v>21</v>
      </c>
      <c r="E5" s="5" t="s">
        <v>22</v>
      </c>
      <c r="F5" s="5">
        <v>7</v>
      </c>
      <c r="G5" s="5">
        <v>150</v>
      </c>
      <c r="H5" s="5">
        <v>1050</v>
      </c>
      <c r="I5" s="10">
        <v>44975</v>
      </c>
    </row>
    <row r="6" spans="1:9">
      <c r="A6" s="9">
        <v>1005</v>
      </c>
      <c r="B6" s="5" t="s">
        <v>13</v>
      </c>
      <c r="C6" s="5" t="s">
        <v>23</v>
      </c>
      <c r="D6" s="5" t="s">
        <v>11</v>
      </c>
      <c r="E6" s="5" t="s">
        <v>12</v>
      </c>
      <c r="F6" s="5">
        <v>2</v>
      </c>
      <c r="G6" s="5">
        <v>850</v>
      </c>
      <c r="H6" s="5">
        <v>1700</v>
      </c>
      <c r="I6" s="10">
        <v>44987</v>
      </c>
    </row>
    <row r="7" spans="1:9">
      <c r="A7" s="9">
        <v>1006</v>
      </c>
      <c r="B7" s="5" t="s">
        <v>9</v>
      </c>
      <c r="C7" s="5" t="s">
        <v>14</v>
      </c>
      <c r="D7" s="5" t="s">
        <v>24</v>
      </c>
      <c r="E7" s="5" t="s">
        <v>22</v>
      </c>
      <c r="F7" s="5">
        <v>4</v>
      </c>
      <c r="G7" s="5">
        <v>300</v>
      </c>
      <c r="H7" s="5">
        <v>1200</v>
      </c>
      <c r="I7" s="10">
        <v>44992</v>
      </c>
    </row>
    <row r="8" spans="1:9">
      <c r="A8" s="9">
        <v>1007</v>
      </c>
      <c r="B8" s="5" t="s">
        <v>20</v>
      </c>
      <c r="C8" s="5" t="s">
        <v>17</v>
      </c>
      <c r="D8" s="5" t="s">
        <v>25</v>
      </c>
      <c r="E8" s="5" t="s">
        <v>19</v>
      </c>
      <c r="F8" s="5">
        <v>20</v>
      </c>
      <c r="G8" s="5">
        <v>5</v>
      </c>
      <c r="H8" s="5">
        <v>100</v>
      </c>
      <c r="I8" s="10">
        <v>44995</v>
      </c>
    </row>
    <row r="9" spans="1:9">
      <c r="A9" s="9">
        <v>1008</v>
      </c>
      <c r="B9" s="5" t="s">
        <v>16</v>
      </c>
      <c r="C9" s="5" t="s">
        <v>23</v>
      </c>
      <c r="D9" s="5" t="s">
        <v>26</v>
      </c>
      <c r="E9" s="5" t="s">
        <v>12</v>
      </c>
      <c r="F9" s="5">
        <v>8</v>
      </c>
      <c r="G9" s="5">
        <v>400</v>
      </c>
      <c r="H9" s="5">
        <v>3200</v>
      </c>
      <c r="I9" s="10">
        <v>45000</v>
      </c>
    </row>
    <row r="10" spans="1:9">
      <c r="A10" s="9">
        <v>1009</v>
      </c>
      <c r="B10" s="5" t="s">
        <v>13</v>
      </c>
      <c r="C10" s="5" t="s">
        <v>10</v>
      </c>
      <c r="D10" s="5" t="s">
        <v>27</v>
      </c>
      <c r="E10" s="5" t="s">
        <v>22</v>
      </c>
      <c r="F10" s="5">
        <v>3</v>
      </c>
      <c r="G10" s="5">
        <v>200</v>
      </c>
      <c r="H10" s="5">
        <v>600</v>
      </c>
      <c r="I10" s="10">
        <v>45005</v>
      </c>
    </row>
    <row r="11" spans="1:9" ht="15.75" thickBot="1">
      <c r="A11" s="11">
        <v>1010</v>
      </c>
      <c r="B11" s="12" t="s">
        <v>9</v>
      </c>
      <c r="C11" s="12" t="s">
        <v>17</v>
      </c>
      <c r="D11" s="12" t="s">
        <v>15</v>
      </c>
      <c r="E11" s="12" t="s">
        <v>12</v>
      </c>
      <c r="F11" s="12">
        <v>6</v>
      </c>
      <c r="G11" s="12">
        <v>650</v>
      </c>
      <c r="H11" s="12">
        <v>3900</v>
      </c>
      <c r="I11" s="13">
        <v>45010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544C-F34F-4E05-982B-7477CAF79D77}">
  <dimension ref="A1:D13"/>
  <sheetViews>
    <sheetView workbookViewId="0">
      <selection activeCell="X17" sqref="X17"/>
    </sheetView>
  </sheetViews>
  <sheetFormatPr defaultRowHeight="15"/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>
        <v>50.9</v>
      </c>
      <c r="C2">
        <v>80.099999999999994</v>
      </c>
      <c r="D2">
        <v>67.900000000000006</v>
      </c>
    </row>
    <row r="3" spans="1:4">
      <c r="A3" t="s">
        <v>33</v>
      </c>
      <c r="B3">
        <v>52.3</v>
      </c>
      <c r="C3">
        <v>90.4</v>
      </c>
      <c r="D3">
        <v>66.099999999999994</v>
      </c>
    </row>
    <row r="4" spans="1:4">
      <c r="A4" t="s">
        <v>34</v>
      </c>
      <c r="B4">
        <v>63.2</v>
      </c>
      <c r="C4">
        <v>94.6</v>
      </c>
      <c r="D4">
        <v>68.8</v>
      </c>
    </row>
    <row r="5" spans="1:4">
      <c r="A5" t="s">
        <v>35</v>
      </c>
      <c r="B5">
        <v>69.2</v>
      </c>
      <c r="C5">
        <v>93.1</v>
      </c>
      <c r="D5">
        <v>70.599999999999994</v>
      </c>
    </row>
    <row r="6" spans="1:4">
      <c r="A6" t="s">
        <v>36</v>
      </c>
      <c r="B6">
        <v>66</v>
      </c>
      <c r="C6">
        <v>92.1</v>
      </c>
      <c r="D6">
        <v>72.7</v>
      </c>
    </row>
    <row r="7" spans="1:4">
      <c r="A7" t="s">
        <v>37</v>
      </c>
      <c r="B7">
        <v>73.400000000000006</v>
      </c>
      <c r="C7">
        <v>82.3</v>
      </c>
      <c r="D7">
        <v>74.8</v>
      </c>
    </row>
    <row r="8" spans="1:4">
      <c r="A8" t="s">
        <v>38</v>
      </c>
      <c r="B8">
        <v>83.1</v>
      </c>
      <c r="C8">
        <v>77.5</v>
      </c>
      <c r="D8">
        <v>85.5</v>
      </c>
    </row>
    <row r="9" spans="1:4">
      <c r="A9" t="s">
        <v>39</v>
      </c>
      <c r="B9">
        <v>87.2</v>
      </c>
      <c r="C9">
        <v>68.599999999999994</v>
      </c>
      <c r="D9">
        <v>83.5</v>
      </c>
    </row>
    <row r="10" spans="1:4">
      <c r="A10" t="s">
        <v>40</v>
      </c>
      <c r="B10">
        <v>93.6</v>
      </c>
      <c r="C10">
        <v>64.8</v>
      </c>
      <c r="D10">
        <v>80.900000000000006</v>
      </c>
    </row>
    <row r="11" spans="1:4">
      <c r="A11" t="s">
        <v>41</v>
      </c>
      <c r="B11">
        <v>96.5</v>
      </c>
      <c r="C11">
        <v>65</v>
      </c>
      <c r="D11">
        <v>76.900000000000006</v>
      </c>
    </row>
    <row r="12" spans="1:4">
      <c r="A12" t="s">
        <v>42</v>
      </c>
      <c r="B12">
        <v>107.2</v>
      </c>
      <c r="C12">
        <v>74.3</v>
      </c>
      <c r="D12">
        <v>79.900000000000006</v>
      </c>
    </row>
    <row r="13" spans="1:4">
      <c r="A13" t="s">
        <v>43</v>
      </c>
      <c r="B13">
        <v>112.3</v>
      </c>
      <c r="C13">
        <v>79.7</v>
      </c>
      <c r="D13">
        <v>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51F7-E5C0-432B-B258-667CADE7946C}">
  <dimension ref="A1:D13"/>
  <sheetViews>
    <sheetView workbookViewId="0">
      <selection activeCell="D19" sqref="D19"/>
    </sheetView>
  </sheetViews>
  <sheetFormatPr defaultRowHeight="15"/>
  <cols>
    <col min="2" max="4" width="10.140625" bestFit="1" customWidth="1"/>
  </cols>
  <sheetData>
    <row r="1" spans="1:4">
      <c r="A1" t="s">
        <v>28</v>
      </c>
      <c r="B1" t="s">
        <v>44</v>
      </c>
      <c r="C1" t="s">
        <v>45</v>
      </c>
      <c r="D1" t="s">
        <v>46</v>
      </c>
    </row>
    <row r="2" spans="1:4">
      <c r="A2" t="s">
        <v>32</v>
      </c>
      <c r="B2">
        <v>20</v>
      </c>
      <c r="C2">
        <v>24</v>
      </c>
      <c r="D2">
        <v>13</v>
      </c>
    </row>
    <row r="3" spans="1:4">
      <c r="A3" t="s">
        <v>33</v>
      </c>
      <c r="B3">
        <v>33</v>
      </c>
      <c r="C3">
        <v>33</v>
      </c>
      <c r="D3">
        <v>22</v>
      </c>
    </row>
    <row r="4" spans="1:4">
      <c r="A4" t="s">
        <v>34</v>
      </c>
      <c r="B4">
        <v>31</v>
      </c>
      <c r="C4">
        <v>23</v>
      </c>
      <c r="D4">
        <v>21</v>
      </c>
    </row>
    <row r="5" spans="1:4">
      <c r="A5" t="s">
        <v>35</v>
      </c>
      <c r="B5">
        <v>21</v>
      </c>
      <c r="C5">
        <v>20</v>
      </c>
      <c r="D5">
        <v>13</v>
      </c>
    </row>
    <row r="6" spans="1:4">
      <c r="A6" t="s">
        <v>36</v>
      </c>
      <c r="B6">
        <v>38</v>
      </c>
      <c r="C6">
        <v>30</v>
      </c>
      <c r="D6">
        <v>16</v>
      </c>
    </row>
    <row r="7" spans="1:4">
      <c r="A7" t="s">
        <v>37</v>
      </c>
      <c r="B7">
        <v>24</v>
      </c>
      <c r="C7">
        <v>31</v>
      </c>
      <c r="D7">
        <v>21</v>
      </c>
    </row>
    <row r="8" spans="1:4">
      <c r="A8" t="s">
        <v>38</v>
      </c>
      <c r="B8">
        <v>25</v>
      </c>
      <c r="C8">
        <v>32</v>
      </c>
      <c r="D8">
        <v>12</v>
      </c>
    </row>
    <row r="9" spans="1:4">
      <c r="A9" t="s">
        <v>39</v>
      </c>
      <c r="B9">
        <v>23</v>
      </c>
      <c r="C9">
        <v>32</v>
      </c>
      <c r="D9">
        <v>19</v>
      </c>
    </row>
    <row r="10" spans="1:4">
      <c r="A10" t="s">
        <v>40</v>
      </c>
      <c r="B10">
        <v>26</v>
      </c>
      <c r="C10">
        <v>15</v>
      </c>
      <c r="D10">
        <v>16</v>
      </c>
    </row>
    <row r="11" spans="1:4">
      <c r="A11" t="s">
        <v>41</v>
      </c>
      <c r="B11">
        <v>23</v>
      </c>
      <c r="C11">
        <v>25</v>
      </c>
      <c r="D11">
        <v>23</v>
      </c>
    </row>
    <row r="12" spans="1:4">
      <c r="A12" t="s">
        <v>42</v>
      </c>
      <c r="B12">
        <v>26</v>
      </c>
      <c r="C12">
        <v>20</v>
      </c>
      <c r="D12">
        <v>21</v>
      </c>
    </row>
    <row r="13" spans="1:4">
      <c r="A13" t="s">
        <v>43</v>
      </c>
      <c r="B13">
        <v>36</v>
      </c>
      <c r="C13">
        <v>19</v>
      </c>
      <c r="D1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DB18-3DF6-4ADD-8DA5-D504215E6BDB}">
  <dimension ref="A1:C10"/>
  <sheetViews>
    <sheetView workbookViewId="0">
      <selection activeCell="L34" sqref="L34"/>
    </sheetView>
  </sheetViews>
  <sheetFormatPr defaultRowHeight="15"/>
  <cols>
    <col min="2" max="2" width="10.7109375" bestFit="1" customWidth="1"/>
  </cols>
  <sheetData>
    <row r="1" spans="1:3">
      <c r="A1" t="s">
        <v>1</v>
      </c>
      <c r="B1" t="s">
        <v>4</v>
      </c>
      <c r="C1" t="s">
        <v>7</v>
      </c>
    </row>
    <row r="2" spans="1:3">
      <c r="A2" t="s">
        <v>47</v>
      </c>
      <c r="B2" t="s">
        <v>12</v>
      </c>
      <c r="C2">
        <v>120</v>
      </c>
    </row>
    <row r="3" spans="1:3">
      <c r="A3" t="s">
        <v>47</v>
      </c>
      <c r="B3" t="s">
        <v>48</v>
      </c>
      <c r="C3">
        <v>80</v>
      </c>
    </row>
    <row r="4" spans="1:3">
      <c r="A4" t="s">
        <v>47</v>
      </c>
      <c r="B4" t="s">
        <v>49</v>
      </c>
      <c r="C4">
        <v>100</v>
      </c>
    </row>
    <row r="5" spans="1:3">
      <c r="A5" t="s">
        <v>50</v>
      </c>
      <c r="B5" t="s">
        <v>12</v>
      </c>
      <c r="C5">
        <v>90</v>
      </c>
    </row>
    <row r="6" spans="1:3">
      <c r="A6" t="s">
        <v>50</v>
      </c>
      <c r="B6" t="s">
        <v>48</v>
      </c>
      <c r="C6">
        <v>70</v>
      </c>
    </row>
    <row r="7" spans="1:3">
      <c r="A7" t="s">
        <v>50</v>
      </c>
      <c r="B7" t="s">
        <v>49</v>
      </c>
      <c r="C7">
        <v>60</v>
      </c>
    </row>
    <row r="8" spans="1:3">
      <c r="A8" t="s">
        <v>51</v>
      </c>
      <c r="B8" t="s">
        <v>12</v>
      </c>
      <c r="C8">
        <v>150</v>
      </c>
    </row>
    <row r="9" spans="1:3">
      <c r="A9" t="s">
        <v>51</v>
      </c>
      <c r="B9" t="s">
        <v>48</v>
      </c>
      <c r="C9">
        <v>110</v>
      </c>
    </row>
    <row r="10" spans="1:3">
      <c r="A10" t="s">
        <v>51</v>
      </c>
      <c r="B10" t="s">
        <v>49</v>
      </c>
      <c r="C10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5274-C906-40F6-BC53-81DFB88A1DFD}">
  <dimension ref="A2:C15"/>
  <sheetViews>
    <sheetView workbookViewId="0">
      <selection activeCell="M26" sqref="M26"/>
    </sheetView>
  </sheetViews>
  <sheetFormatPr defaultRowHeight="15"/>
  <cols>
    <col min="1" max="1" width="31.42578125" bestFit="1" customWidth="1"/>
    <col min="2" max="2" width="13" bestFit="1" customWidth="1"/>
  </cols>
  <sheetData>
    <row r="2" spans="1:3" ht="30.75" customHeight="1">
      <c r="A2" s="1" t="s">
        <v>52</v>
      </c>
      <c r="B2" s="2">
        <v>50000</v>
      </c>
      <c r="C2" s="3"/>
    </row>
    <row r="3" spans="1:3" ht="28.5" customHeight="1">
      <c r="A3" s="4" t="s">
        <v>53</v>
      </c>
      <c r="B3" s="2">
        <v>-15000</v>
      </c>
      <c r="C3" s="3"/>
    </row>
    <row r="4" spans="1:3" ht="21" customHeight="1">
      <c r="A4" s="4" t="s">
        <v>54</v>
      </c>
      <c r="B4" s="2">
        <v>-5000</v>
      </c>
      <c r="C4" s="3"/>
    </row>
    <row r="5" spans="1:3" ht="28.5" customHeight="1">
      <c r="A5" s="4" t="s">
        <v>55</v>
      </c>
      <c r="B5" s="2">
        <v>-12000</v>
      </c>
      <c r="C5" s="3"/>
    </row>
    <row r="6" spans="1:3" ht="23.25" customHeight="1">
      <c r="A6" s="4" t="s">
        <v>56</v>
      </c>
      <c r="B6" s="2">
        <v>-3000</v>
      </c>
      <c r="C6" s="3"/>
    </row>
    <row r="7" spans="1:3" ht="42" customHeight="1">
      <c r="A7" s="4" t="s">
        <v>57</v>
      </c>
      <c r="B7" s="2">
        <v>8000</v>
      </c>
      <c r="C7" s="3"/>
    </row>
    <row r="8" spans="1:3" ht="23.25">
      <c r="A8" s="4" t="s">
        <v>58</v>
      </c>
      <c r="B8" s="2">
        <v>-4000</v>
      </c>
      <c r="C8" s="3"/>
    </row>
    <row r="9" spans="1:3" ht="23.25">
      <c r="A9" s="1" t="s">
        <v>59</v>
      </c>
      <c r="B9" s="2">
        <v>19000</v>
      </c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EF5C-3D49-42E1-88A8-CFE7EB3EEBAE}">
  <dimension ref="A1:L13"/>
  <sheetViews>
    <sheetView showGridLines="0" workbookViewId="0">
      <selection activeCell="O4" sqref="O4"/>
    </sheetView>
  </sheetViews>
  <sheetFormatPr defaultRowHeight="15"/>
  <cols>
    <col min="3" max="12" width="3.7109375" customWidth="1"/>
  </cols>
  <sheetData>
    <row r="1" spans="1:12">
      <c r="A1" s="16" t="s">
        <v>60</v>
      </c>
    </row>
    <row r="2" spans="1:12">
      <c r="A2" s="17">
        <v>0.2</v>
      </c>
    </row>
    <row r="4" spans="1:12">
      <c r="C4" s="18">
        <f>(COLUMNS($C4:C$13)+10*(ROWS(C4:$C$13)-1))/100</f>
        <v>0.91</v>
      </c>
      <c r="D4" s="19">
        <f>(COLUMNS($C4:D$13)+10*(ROWS($C4:D$13)-1))/100</f>
        <v>0.92</v>
      </c>
      <c r="E4" s="19">
        <f>(COLUMNS($C4:E$13)+10*(ROWS($C4:E$13)-1))/100</f>
        <v>0.93</v>
      </c>
      <c r="F4" s="19">
        <f>(COLUMNS($C4:F$13)+10*(ROWS($C4:F$13)-1))/100</f>
        <v>0.94</v>
      </c>
      <c r="G4" s="19">
        <f>(COLUMNS($C4:G$13)+10*(ROWS($C4:G$13)-1))/100</f>
        <v>0.95</v>
      </c>
      <c r="H4" s="19">
        <f>(COLUMNS($C4:H$13)+10*(ROWS($C4:H$13)-1))/100</f>
        <v>0.96</v>
      </c>
      <c r="I4" s="19">
        <f>(COLUMNS($C4:I$13)+10*(ROWS($C4:I$13)-1))/100</f>
        <v>0.97</v>
      </c>
      <c r="J4" s="19">
        <f>(COLUMNS($C4:J$13)+10*(ROWS($C4:J$13)-1))/100</f>
        <v>0.98</v>
      </c>
      <c r="K4" s="19">
        <f>(COLUMNS($C4:K$13)+10*(ROWS($C4:K$13)-1))/100</f>
        <v>0.99</v>
      </c>
      <c r="L4" s="20">
        <f>(COLUMNS($C4:L$13)+10*(ROWS($C4:L$13)-1))/100</f>
        <v>1</v>
      </c>
    </row>
    <row r="5" spans="1:12">
      <c r="C5" s="21">
        <f>(COLUMNS($C5:C$13)+10*(ROWS(C5:$C$13)-1))/100</f>
        <v>0.81</v>
      </c>
      <c r="D5" s="22">
        <f>(COLUMNS($C5:D$13)+10*(ROWS($C5:D$13)-1))/100</f>
        <v>0.82</v>
      </c>
      <c r="E5" s="22">
        <f>(COLUMNS($C5:E$13)+10*(ROWS($C5:E$13)-1))/100</f>
        <v>0.83</v>
      </c>
      <c r="F5" s="22">
        <f>(COLUMNS($C5:F$13)+10*(ROWS($C5:F$13)-1))/100</f>
        <v>0.84</v>
      </c>
      <c r="G5" s="22">
        <f>(COLUMNS($C5:G$13)+10*(ROWS($C5:G$13)-1))/100</f>
        <v>0.85</v>
      </c>
      <c r="H5" s="22">
        <f>(COLUMNS($C5:H$13)+10*(ROWS($C5:H$13)-1))/100</f>
        <v>0.86</v>
      </c>
      <c r="I5" s="22">
        <f>(COLUMNS($C5:I$13)+10*(ROWS($C5:I$13)-1))/100</f>
        <v>0.87</v>
      </c>
      <c r="J5" s="22">
        <f>(COLUMNS($C5:J$13)+10*(ROWS($C5:J$13)-1))/100</f>
        <v>0.88</v>
      </c>
      <c r="K5" s="22">
        <f>(COLUMNS($C5:K$13)+10*(ROWS($C5:K$13)-1))/100</f>
        <v>0.89</v>
      </c>
      <c r="L5" s="23">
        <f>(COLUMNS($C5:L$13)+10*(ROWS($C5:L$13)-1))/100</f>
        <v>0.9</v>
      </c>
    </row>
    <row r="6" spans="1:12">
      <c r="C6" s="21">
        <f>(COLUMNS($C6:C$13)+10*(ROWS(C6:$C$13)-1))/100</f>
        <v>0.71</v>
      </c>
      <c r="D6" s="22">
        <f>(COLUMNS($C6:D$13)+10*(ROWS($C6:D$13)-1))/100</f>
        <v>0.72</v>
      </c>
      <c r="E6" s="22">
        <f>(COLUMNS($C6:E$13)+10*(ROWS($C6:E$13)-1))/100</f>
        <v>0.73</v>
      </c>
      <c r="F6" s="22">
        <f>(COLUMNS($C6:F$13)+10*(ROWS($C6:F$13)-1))/100</f>
        <v>0.74</v>
      </c>
      <c r="G6" s="22">
        <f>(COLUMNS($C6:G$13)+10*(ROWS($C6:G$13)-1))/100</f>
        <v>0.75</v>
      </c>
      <c r="H6" s="22">
        <f>(COLUMNS($C6:H$13)+10*(ROWS($C6:H$13)-1))/100</f>
        <v>0.76</v>
      </c>
      <c r="I6" s="22">
        <f>(COLUMNS($C6:I$13)+10*(ROWS($C6:I$13)-1))/100</f>
        <v>0.77</v>
      </c>
      <c r="J6" s="22">
        <f>(COLUMNS($C6:J$13)+10*(ROWS($C6:J$13)-1))/100</f>
        <v>0.78</v>
      </c>
      <c r="K6" s="22">
        <f>(COLUMNS($C6:K$13)+10*(ROWS($C6:K$13)-1))/100</f>
        <v>0.79</v>
      </c>
      <c r="L6" s="23">
        <f>(COLUMNS($C6:L$13)+10*(ROWS($C6:L$13)-1))/100</f>
        <v>0.8</v>
      </c>
    </row>
    <row r="7" spans="1:12">
      <c r="C7" s="21">
        <f>(COLUMNS($C7:C$13)+10*(ROWS(C7:$C$13)-1))/100</f>
        <v>0.61</v>
      </c>
      <c r="D7" s="22">
        <f>(COLUMNS($C7:D$13)+10*(ROWS($C7:D$13)-1))/100</f>
        <v>0.62</v>
      </c>
      <c r="E7" s="22">
        <f>(COLUMNS($C7:E$13)+10*(ROWS($C7:E$13)-1))/100</f>
        <v>0.63</v>
      </c>
      <c r="F7" s="22">
        <f>(COLUMNS($C7:F$13)+10*(ROWS($C7:F$13)-1))/100</f>
        <v>0.64</v>
      </c>
      <c r="G7" s="22">
        <f>(COLUMNS($C7:G$13)+10*(ROWS($C7:G$13)-1))/100</f>
        <v>0.65</v>
      </c>
      <c r="H7" s="22">
        <f>(COLUMNS($C7:H$13)+10*(ROWS($C7:H$13)-1))/100</f>
        <v>0.66</v>
      </c>
      <c r="I7" s="22">
        <f>(COLUMNS($C7:I$13)+10*(ROWS($C7:I$13)-1))/100</f>
        <v>0.67</v>
      </c>
      <c r="J7" s="22">
        <f>(COLUMNS($C7:J$13)+10*(ROWS($C7:J$13)-1))/100</f>
        <v>0.68</v>
      </c>
      <c r="K7" s="22">
        <f>(COLUMNS($C7:K$13)+10*(ROWS($C7:K$13)-1))/100</f>
        <v>0.69</v>
      </c>
      <c r="L7" s="23">
        <f>(COLUMNS($C7:L$13)+10*(ROWS($C7:L$13)-1))/100</f>
        <v>0.7</v>
      </c>
    </row>
    <row r="8" spans="1:12">
      <c r="C8" s="21">
        <f>(COLUMNS($C8:C$13)+10*(ROWS(C8:$C$13)-1))/100</f>
        <v>0.51</v>
      </c>
      <c r="D8" s="22">
        <f>(COLUMNS($C8:D$13)+10*(ROWS($C8:D$13)-1))/100</f>
        <v>0.52</v>
      </c>
      <c r="E8" s="22">
        <f>(COLUMNS($C8:E$13)+10*(ROWS($C8:E$13)-1))/100</f>
        <v>0.53</v>
      </c>
      <c r="F8" s="22">
        <f>(COLUMNS($C8:F$13)+10*(ROWS($C8:F$13)-1))/100</f>
        <v>0.54</v>
      </c>
      <c r="G8" s="22">
        <f>(COLUMNS($C8:G$13)+10*(ROWS($C8:G$13)-1))/100</f>
        <v>0.55000000000000004</v>
      </c>
      <c r="H8" s="22">
        <f>(COLUMNS($C8:H$13)+10*(ROWS($C8:H$13)-1))/100</f>
        <v>0.56000000000000005</v>
      </c>
      <c r="I8" s="22">
        <f>(COLUMNS($C8:I$13)+10*(ROWS($C8:I$13)-1))/100</f>
        <v>0.56999999999999995</v>
      </c>
      <c r="J8" s="22">
        <f>(COLUMNS($C8:J$13)+10*(ROWS($C8:J$13)-1))/100</f>
        <v>0.57999999999999996</v>
      </c>
      <c r="K8" s="22">
        <f>(COLUMNS($C8:K$13)+10*(ROWS($C8:K$13)-1))/100</f>
        <v>0.59</v>
      </c>
      <c r="L8" s="23">
        <f>(COLUMNS($C8:L$13)+10*(ROWS($C8:L$13)-1))/100</f>
        <v>0.6</v>
      </c>
    </row>
    <row r="9" spans="1:12">
      <c r="C9" s="21">
        <f>(COLUMNS($C9:C$13)+10*(ROWS(C9:$C$13)-1))/100</f>
        <v>0.41</v>
      </c>
      <c r="D9" s="22">
        <f>(COLUMNS($C9:D$13)+10*(ROWS($C9:D$13)-1))/100</f>
        <v>0.42</v>
      </c>
      <c r="E9" s="22">
        <f>(COLUMNS($C9:E$13)+10*(ROWS($C9:E$13)-1))/100</f>
        <v>0.43</v>
      </c>
      <c r="F9" s="22">
        <f>(COLUMNS($C9:F$13)+10*(ROWS($C9:F$13)-1))/100</f>
        <v>0.44</v>
      </c>
      <c r="G9" s="22">
        <f>(COLUMNS($C9:G$13)+10*(ROWS($C9:G$13)-1))/100</f>
        <v>0.45</v>
      </c>
      <c r="H9" s="22">
        <f>(COLUMNS($C9:H$13)+10*(ROWS($C9:H$13)-1))/100</f>
        <v>0.46</v>
      </c>
      <c r="I9" s="22">
        <f>(COLUMNS($C9:I$13)+10*(ROWS($C9:I$13)-1))/100</f>
        <v>0.47</v>
      </c>
      <c r="J9" s="22">
        <f>(COLUMNS($C9:J$13)+10*(ROWS($C9:J$13)-1))/100</f>
        <v>0.48</v>
      </c>
      <c r="K9" s="22">
        <f>(COLUMNS($C9:K$13)+10*(ROWS($C9:K$13)-1))/100</f>
        <v>0.49</v>
      </c>
      <c r="L9" s="23">
        <f>(COLUMNS($C9:L$13)+10*(ROWS($C9:L$13)-1))/100</f>
        <v>0.5</v>
      </c>
    </row>
    <row r="10" spans="1:12">
      <c r="C10" s="21">
        <f>(COLUMNS($C10:C$13)+10*(ROWS(C10:$C$13)-1))/100</f>
        <v>0.31</v>
      </c>
      <c r="D10" s="22">
        <f>(COLUMNS($C10:D$13)+10*(ROWS($C10:D$13)-1))/100</f>
        <v>0.32</v>
      </c>
      <c r="E10" s="22">
        <f>(COLUMNS($C10:E$13)+10*(ROWS($C10:E$13)-1))/100</f>
        <v>0.33</v>
      </c>
      <c r="F10" s="22">
        <f>(COLUMNS($C10:F$13)+10*(ROWS($C10:F$13)-1))/100</f>
        <v>0.34</v>
      </c>
      <c r="G10" s="22">
        <f>(COLUMNS($C10:G$13)+10*(ROWS($C10:G$13)-1))/100</f>
        <v>0.35</v>
      </c>
      <c r="H10" s="22">
        <f>(COLUMNS($C10:H$13)+10*(ROWS($C10:H$13)-1))/100</f>
        <v>0.36</v>
      </c>
      <c r="I10" s="22">
        <f>(COLUMNS($C10:I$13)+10*(ROWS($C10:I$13)-1))/100</f>
        <v>0.37</v>
      </c>
      <c r="J10" s="22">
        <f>(COLUMNS($C10:J$13)+10*(ROWS($C10:J$13)-1))/100</f>
        <v>0.38</v>
      </c>
      <c r="K10" s="22">
        <f>(COLUMNS($C10:K$13)+10*(ROWS($C10:K$13)-1))/100</f>
        <v>0.39</v>
      </c>
      <c r="L10" s="23">
        <f>(COLUMNS($C10:L$13)+10*(ROWS($C10:L$13)-1))/100</f>
        <v>0.4</v>
      </c>
    </row>
    <row r="11" spans="1:12">
      <c r="C11" s="21">
        <f>(COLUMNS($C11:C$13)+10*(ROWS(C11:$C$13)-1))/100</f>
        <v>0.21</v>
      </c>
      <c r="D11" s="22">
        <f>(COLUMNS($C11:D$13)+10*(ROWS($C11:D$13)-1))/100</f>
        <v>0.22</v>
      </c>
      <c r="E11" s="22">
        <f>(COLUMNS($C11:E$13)+10*(ROWS($C11:E$13)-1))/100</f>
        <v>0.23</v>
      </c>
      <c r="F11" s="22">
        <f>(COLUMNS($C11:F$13)+10*(ROWS($C11:F$13)-1))/100</f>
        <v>0.24</v>
      </c>
      <c r="G11" s="22">
        <f>(COLUMNS($C11:G$13)+10*(ROWS($C11:G$13)-1))/100</f>
        <v>0.25</v>
      </c>
      <c r="H11" s="22">
        <f>(COLUMNS($C11:H$13)+10*(ROWS($C11:H$13)-1))/100</f>
        <v>0.26</v>
      </c>
      <c r="I11" s="22">
        <f>(COLUMNS($C11:I$13)+10*(ROWS($C11:I$13)-1))/100</f>
        <v>0.27</v>
      </c>
      <c r="J11" s="22">
        <f>(COLUMNS($C11:J$13)+10*(ROWS($C11:J$13)-1))/100</f>
        <v>0.28000000000000003</v>
      </c>
      <c r="K11" s="22">
        <f>(COLUMNS($C11:K$13)+10*(ROWS($C11:K$13)-1))/100</f>
        <v>0.28999999999999998</v>
      </c>
      <c r="L11" s="23">
        <f>(COLUMNS($C11:L$13)+10*(ROWS($C11:L$13)-1))/100</f>
        <v>0.3</v>
      </c>
    </row>
    <row r="12" spans="1:12">
      <c r="C12" s="21">
        <f>(COLUMNS($C12:C$13)+10*(ROWS(C12:$C$13)-1))/100</f>
        <v>0.11</v>
      </c>
      <c r="D12" s="22">
        <f>(COLUMNS($C12:D$13)+10*(ROWS($C12:D$13)-1))/100</f>
        <v>0.12</v>
      </c>
      <c r="E12" s="22">
        <f>(COLUMNS($C12:E$13)+10*(ROWS($C12:E$13)-1))/100</f>
        <v>0.13</v>
      </c>
      <c r="F12" s="22">
        <f>(COLUMNS($C12:F$13)+10*(ROWS($C12:F$13)-1))/100</f>
        <v>0.14000000000000001</v>
      </c>
      <c r="G12" s="22">
        <f>(COLUMNS($C12:G$13)+10*(ROWS($C12:G$13)-1))/100</f>
        <v>0.15</v>
      </c>
      <c r="H12" s="22">
        <f>(COLUMNS($C12:H$13)+10*(ROWS($C12:H$13)-1))/100</f>
        <v>0.16</v>
      </c>
      <c r="I12" s="22">
        <f>(COLUMNS($C12:I$13)+10*(ROWS($C12:I$13)-1))/100</f>
        <v>0.17</v>
      </c>
      <c r="J12" s="22">
        <f>(COLUMNS($C12:J$13)+10*(ROWS($C12:J$13)-1))/100</f>
        <v>0.18</v>
      </c>
      <c r="K12" s="22">
        <f>(COLUMNS($C12:K$13)+10*(ROWS($C12:K$13)-1))/100</f>
        <v>0.19</v>
      </c>
      <c r="L12" s="23">
        <f>(COLUMNS($C12:L$13)+10*(ROWS($C12:L$13)-1))/100</f>
        <v>0.2</v>
      </c>
    </row>
    <row r="13" spans="1:12">
      <c r="C13" s="24">
        <f>(COLUMNS($C13:C$13)+10*(ROWS(C13:$C$13)-1))/100</f>
        <v>0.01</v>
      </c>
      <c r="D13" s="25">
        <f>(COLUMNS($C13:D$13)+10*(ROWS($C13:D$13)-1))/100</f>
        <v>0.02</v>
      </c>
      <c r="E13" s="25">
        <f>(COLUMNS($C13:E$13)+10*(ROWS($C13:E$13)-1))/100</f>
        <v>0.03</v>
      </c>
      <c r="F13" s="25">
        <f>(COLUMNS($C13:F$13)+10*(ROWS($C13:F$13)-1))/100</f>
        <v>0.04</v>
      </c>
      <c r="G13" s="25">
        <f>(COLUMNS($C13:G$13)+10*(ROWS($C13:G$13)-1))/100</f>
        <v>0.05</v>
      </c>
      <c r="H13" s="25">
        <f>(COLUMNS($C13:H$13)+10*(ROWS($C13:H$13)-1))/100</f>
        <v>0.06</v>
      </c>
      <c r="I13" s="25">
        <f>(COLUMNS($C13:I$13)+10*(ROWS($C13:I$13)-1))/100</f>
        <v>7.0000000000000007E-2</v>
      </c>
      <c r="J13" s="25">
        <f>(COLUMNS($C13:J$13)+10*(ROWS($C13:J$13)-1))/100</f>
        <v>0.08</v>
      </c>
      <c r="K13" s="25">
        <f>(COLUMNS($C13:K$13)+10*(ROWS($C13:K$13)-1))/100</f>
        <v>0.09</v>
      </c>
      <c r="L13" s="26">
        <f>(COLUMNS($C13:L$13)+10*(ROWS($C13:L$13)-1))/100</f>
        <v>0.1</v>
      </c>
    </row>
  </sheetData>
  <conditionalFormatting sqref="C4:L13">
    <cfRule type="cellIs" dxfId="0" priority="1" operator="between">
      <formula>0</formula>
      <formula>$A$2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CCC7-6A79-4643-84B2-FACB845CC036}">
  <dimension ref="A1:D7"/>
  <sheetViews>
    <sheetView workbookViewId="0">
      <selection activeCell="H33" sqref="H33"/>
    </sheetView>
  </sheetViews>
  <sheetFormatPr defaultRowHeight="15"/>
  <cols>
    <col min="1" max="1" width="20.5703125" customWidth="1"/>
    <col min="2" max="2" width="14.42578125" customWidth="1"/>
    <col min="3" max="3" width="19.7109375" customWidth="1"/>
    <col min="4" max="4" width="17.28515625" customWidth="1"/>
  </cols>
  <sheetData>
    <row r="1" spans="1:4" ht="30">
      <c r="A1" s="14" t="s">
        <v>61</v>
      </c>
      <c r="B1" s="14" t="s">
        <v>62</v>
      </c>
      <c r="C1" s="14" t="s">
        <v>63</v>
      </c>
      <c r="D1" s="14" t="s">
        <v>64</v>
      </c>
    </row>
    <row r="2" spans="1:4">
      <c r="A2" s="15" t="s">
        <v>65</v>
      </c>
      <c r="B2" s="15">
        <v>8</v>
      </c>
      <c r="C2" s="15">
        <v>6</v>
      </c>
      <c r="D2" s="15">
        <v>7</v>
      </c>
    </row>
    <row r="3" spans="1:4">
      <c r="A3" s="15" t="s">
        <v>66</v>
      </c>
      <c r="B3" s="15">
        <v>7</v>
      </c>
      <c r="C3" s="15">
        <v>9</v>
      </c>
      <c r="D3" s="15">
        <v>6</v>
      </c>
    </row>
    <row r="4" spans="1:4">
      <c r="A4" s="15" t="s">
        <v>67</v>
      </c>
      <c r="B4" s="15">
        <v>9</v>
      </c>
      <c r="C4" s="15">
        <v>7</v>
      </c>
      <c r="D4" s="15">
        <v>8</v>
      </c>
    </row>
    <row r="5" spans="1:4">
      <c r="A5" s="15" t="s">
        <v>68</v>
      </c>
      <c r="B5" s="15">
        <v>6</v>
      </c>
      <c r="C5" s="15">
        <v>8</v>
      </c>
      <c r="D5" s="15">
        <v>7</v>
      </c>
    </row>
    <row r="6" spans="1:4">
      <c r="A6" s="15" t="s">
        <v>69</v>
      </c>
      <c r="B6" s="15">
        <v>8</v>
      </c>
      <c r="C6" s="15">
        <v>6</v>
      </c>
      <c r="D6" s="15">
        <v>9</v>
      </c>
    </row>
    <row r="7" spans="1:4">
      <c r="A7" s="15" t="s">
        <v>70</v>
      </c>
      <c r="B7" s="15">
        <v>7</v>
      </c>
      <c r="C7" s="15">
        <v>8</v>
      </c>
      <c r="D7" s="15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2197-55E0-4509-A9B4-07F6C490B2D8}">
  <dimension ref="A1:D6"/>
  <sheetViews>
    <sheetView tabSelected="1" workbookViewId="0">
      <selection activeCell="I1" sqref="I1"/>
    </sheetView>
  </sheetViews>
  <sheetFormatPr defaultRowHeight="15"/>
  <sheetData>
    <row r="1" spans="1:4" ht="30">
      <c r="A1" s="14" t="s">
        <v>71</v>
      </c>
      <c r="B1" s="14" t="s">
        <v>44</v>
      </c>
      <c r="C1" s="14" t="s">
        <v>45</v>
      </c>
      <c r="D1" s="14" t="s">
        <v>46</v>
      </c>
    </row>
    <row r="2" spans="1:4">
      <c r="A2" s="15" t="s">
        <v>72</v>
      </c>
      <c r="B2" s="15">
        <v>5000</v>
      </c>
      <c r="C2" s="15">
        <v>4000</v>
      </c>
      <c r="D2" s="15">
        <v>3000</v>
      </c>
    </row>
    <row r="3" spans="1:4">
      <c r="A3" s="15" t="s">
        <v>73</v>
      </c>
      <c r="B3" s="15">
        <v>2000</v>
      </c>
      <c r="C3" s="15">
        <v>1800</v>
      </c>
      <c r="D3" s="15">
        <v>1200</v>
      </c>
    </row>
    <row r="4" spans="1:4">
      <c r="A4" s="15" t="s">
        <v>74</v>
      </c>
      <c r="B4" s="15">
        <v>1000</v>
      </c>
      <c r="C4" s="15">
        <v>900</v>
      </c>
      <c r="D4" s="15">
        <v>600</v>
      </c>
    </row>
    <row r="5" spans="1:4" ht="30">
      <c r="A5" s="15" t="s">
        <v>75</v>
      </c>
      <c r="B5" s="15">
        <v>500</v>
      </c>
      <c r="C5" s="15">
        <v>450</v>
      </c>
      <c r="D5" s="15">
        <v>300</v>
      </c>
    </row>
    <row r="6" spans="1:4" ht="30">
      <c r="A6" s="15" t="s">
        <v>76</v>
      </c>
      <c r="B6" s="15">
        <v>300</v>
      </c>
      <c r="C6" s="15">
        <v>250</v>
      </c>
      <c r="D6" s="15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AC08847E27AA43A41FE2B7C03093F8" ma:contentTypeVersion="3" ma:contentTypeDescription="Vytvoří nový dokument" ma:contentTypeScope="" ma:versionID="7e97ecc6e207ac20eda8e622a7ab9529">
  <xsd:schema xmlns:xsd="http://www.w3.org/2001/XMLSchema" xmlns:xs="http://www.w3.org/2001/XMLSchema" xmlns:p="http://schemas.microsoft.com/office/2006/metadata/properties" xmlns:ns2="72cc7b56-5470-4009-9c81-9b95353fcd61" targetNamespace="http://schemas.microsoft.com/office/2006/metadata/properties" ma:root="true" ma:fieldsID="42c6894583ec8f9b48d5eda11815cbe9" ns2:_="">
    <xsd:import namespace="72cc7b56-5470-4009-9c81-9b95353fcd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7b56-5470-4009-9c81-9b95353fc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48106-BE9F-4D26-A553-7C252CB06D40}"/>
</file>

<file path=customXml/itemProps2.xml><?xml version="1.0" encoding="utf-8"?>
<ds:datastoreItem xmlns:ds="http://schemas.openxmlformats.org/officeDocument/2006/customXml" ds:itemID="{0BCDD051-BA47-40EB-A0B4-DB9A014DC148}"/>
</file>

<file path=customXml/itemProps3.xml><?xml version="1.0" encoding="utf-8"?>
<ds:datastoreItem xmlns:ds="http://schemas.openxmlformats.org/officeDocument/2006/customXml" ds:itemID="{42EFEE3F-7EFF-40E0-95D5-A26A632C5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Seyed Mojtaba Hosseini Bamakan</dc:creator>
  <cp:keywords/>
  <dc:description/>
  <cp:lastModifiedBy>Dooter Kajoh</cp:lastModifiedBy>
  <cp:revision/>
  <dcterms:created xsi:type="dcterms:W3CDTF">2025-08-28T04:30:36Z</dcterms:created>
  <dcterms:modified xsi:type="dcterms:W3CDTF">2025-09-30T13:31:44Z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0x010100E0AC08847E27AA43A41FE2B7C03093F8</vt:lpwstr>
  </property>
</Properties>
</file>